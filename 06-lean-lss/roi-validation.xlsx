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b val="1"/>
      <sz val="15"/>
    </font>
    <font>
      <i val="1"/>
      <color rgb="00595959"/>
      <sz val="10"/>
    </font>
    <font>
      <b val="1"/>
      <color rgb="00FFFFFF"/>
      <sz val="12"/>
    </font>
    <font>
      <b val="1"/>
    </font>
    <font>
      <color rgb="00595959"/>
      <sz val="9"/>
    </font>
    <font>
      <b val="1"/>
      <color rgb="00C00000"/>
    </font>
    <font>
      <b val="1"/>
      <i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164" fontId="0" fillId="2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9" fontId="6" fillId="4" borderId="1" applyAlignment="1" pivotButton="0" quotePrefix="0" xfId="0">
      <alignment horizontal="right"/>
    </xf>
    <xf numFmtId="3" fontId="0" fillId="2" borderId="1" applyAlignment="1" pivotButton="0" quotePrefix="0" xfId="0">
      <alignment horizontal="right"/>
    </xf>
    <xf numFmtId="166" fontId="0" fillId="2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1" fontId="0" fillId="2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ROI 效益驗證 — 預測維護資料流程自動化</t>
        </is>
      </c>
    </row>
    <row r="2">
      <c r="A2" s="2" t="inlineStr">
        <is>
          <t>誠信原則：綠=實測值(不可改) · 黃=假設值(可替換) · 藍=Excel公式(自動重算)。把黃色換成 ASML 真實數字，下方 ROI 立刻重算。</t>
        </is>
      </c>
    </row>
    <row r="3">
      <c r="A3" s="3" t="inlineStr">
        <is>
          <t>實測</t>
        </is>
      </c>
      <c r="B3" s="4" t="inlineStr">
        <is>
          <t>假設</t>
        </is>
      </c>
      <c r="C3" s="5" t="inlineStr">
        <is>
          <t>計算</t>
        </is>
      </c>
    </row>
    <row r="5">
      <c r="A5" s="6" t="inlineStr">
        <is>
          <t>A. 流程自動化效益（第二層 · 消除人工資料處理浪費）</t>
        </is>
      </c>
    </row>
    <row r="6">
      <c r="A6" s="7" t="inlineStr">
        <is>
          <t>項目</t>
        </is>
      </c>
      <c r="B6" s="7" t="inlineStr">
        <is>
          <t>值</t>
        </is>
      </c>
      <c r="C6" s="7" t="inlineStr">
        <is>
          <t>類型</t>
        </is>
      </c>
      <c r="D6" s="7" t="inlineStr">
        <is>
          <t>來源 / 說明</t>
        </is>
      </c>
    </row>
    <row r="7">
      <c r="A7" t="inlineStr">
        <is>
          <t>單次手動耗時（秒）</t>
        </is>
      </c>
      <c r="B7" s="8" t="n">
        <v>900</v>
      </c>
      <c r="C7" s="9" t="inlineStr">
        <is>
          <t>實測🟢</t>
        </is>
      </c>
      <c r="D7" s="10" t="inlineStr">
        <is>
          <t>碼錶實測：手動清理彙整一次 = 15 分鐘</t>
        </is>
      </c>
    </row>
    <row r="8">
      <c r="A8" t="inlineStr">
        <is>
          <t>單次自動耗時（秒）</t>
        </is>
      </c>
      <c r="B8" s="11" t="n">
        <v>1.6</v>
      </c>
      <c r="C8" s="9" t="inlineStr">
        <is>
          <t>實測🟢</t>
        </is>
      </c>
      <c r="D8" s="10" t="inlineStr">
        <is>
          <t>VBA 巨集 Timer 回報</t>
        </is>
      </c>
    </row>
    <row r="9">
      <c r="A9" t="inlineStr">
        <is>
          <t>單次省時（秒）</t>
        </is>
      </c>
      <c r="B9" s="12">
        <f>B7-B8</f>
        <v/>
      </c>
      <c r="C9" s="9" t="inlineStr">
        <is>
          <t>計算</t>
        </is>
      </c>
      <c r="D9" s="10" t="inlineStr">
        <is>
          <t>手動 − 自動</t>
        </is>
      </c>
    </row>
    <row r="10">
      <c r="A10" t="inlineStr">
        <is>
          <t>每天執行次數</t>
        </is>
      </c>
      <c r="B10" s="13" t="n">
        <v>3</v>
      </c>
      <c r="C10" s="9" t="inlineStr">
        <is>
          <t>假設🟡</t>
        </is>
      </c>
      <c r="D10" s="10" t="inlineStr">
        <is>
          <t>每日跑幾次報表（可改）</t>
        </is>
      </c>
    </row>
    <row r="11">
      <c r="A11" t="inlineStr">
        <is>
          <t>使用人數</t>
        </is>
      </c>
      <c r="B11" s="13" t="n">
        <v>3</v>
      </c>
      <c r="C11" s="9" t="inlineStr">
        <is>
          <t>假設🟡</t>
        </is>
      </c>
      <c r="D11" s="10" t="inlineStr">
        <is>
          <t>幾位工程師做同樣作業（可改）</t>
        </is>
      </c>
    </row>
    <row r="12">
      <c r="A12" t="inlineStr">
        <is>
          <t>年工作天</t>
        </is>
      </c>
      <c r="B12" s="13" t="n">
        <v>240</v>
      </c>
      <c r="C12" s="9" t="inlineStr">
        <is>
          <t>假設🟡</t>
        </is>
      </c>
      <c r="D12" s="10" t="inlineStr">
        <is>
          <t>一年工作天數（可改）</t>
        </is>
      </c>
    </row>
    <row r="13">
      <c r="A13" t="inlineStr">
        <is>
          <t>年省工時（小時）</t>
        </is>
      </c>
      <c r="B13" s="14">
        <f>B9*B10*B11*B12/3600</f>
        <v/>
      </c>
      <c r="C13" s="9" t="inlineStr">
        <is>
          <t>計算</t>
        </is>
      </c>
      <c r="D13" s="10" t="inlineStr">
        <is>
          <t>省時×次數×人數×天數÷3600</t>
        </is>
      </c>
    </row>
    <row r="14">
      <c r="A14" t="inlineStr">
        <is>
          <t>人力成本（NT$/小時）</t>
        </is>
      </c>
      <c r="B14" s="13" t="n">
        <v>500</v>
      </c>
      <c r="C14" s="9" t="inlineStr">
        <is>
          <t>假設🟡</t>
        </is>
      </c>
      <c r="D14" s="10" t="inlineStr">
        <is>
          <t>工程師時薪（可改）</t>
        </is>
      </c>
    </row>
    <row r="15">
      <c r="A15" t="inlineStr">
        <is>
          <t>年省人力成本（NT$）</t>
        </is>
      </c>
      <c r="B15" s="15">
        <f>B13*B14</f>
        <v/>
      </c>
      <c r="C15" s="9" t="inlineStr">
        <is>
          <t>計算</t>
        </is>
      </c>
      <c r="D15" s="10" t="inlineStr">
        <is>
          <t>年省工時 × 時薪</t>
        </is>
      </c>
    </row>
    <row r="16">
      <c r="A16" t="inlineStr">
        <is>
          <t>開發投入工時（小時）</t>
        </is>
      </c>
      <c r="B16" s="13" t="n">
        <v>40</v>
      </c>
      <c r="C16" s="9" t="inlineStr">
        <is>
          <t>假設🟡</t>
        </is>
      </c>
      <c r="D16" s="10" t="inlineStr">
        <is>
          <t>一次性：撰寫巨集+測試（依實況調整）</t>
        </is>
      </c>
    </row>
    <row r="17">
      <c r="A17" t="inlineStr">
        <is>
          <t>導入成本（NT$）</t>
        </is>
      </c>
      <c r="B17" s="15">
        <f>B16*B14</f>
        <v/>
      </c>
      <c r="C17" s="9" t="inlineStr">
        <is>
          <t>計算</t>
        </is>
      </c>
      <c r="D17" s="10" t="inlineStr">
        <is>
          <t>開發工時 × 時薪</t>
        </is>
      </c>
    </row>
    <row r="18">
      <c r="A18" t="inlineStr">
        <is>
          <t>回收期（工作天）</t>
        </is>
      </c>
      <c r="B18" s="12">
        <f>B17/(B15/B12)</f>
        <v/>
      </c>
      <c r="C18" s="9" t="inlineStr">
        <is>
          <t>計算</t>
        </is>
      </c>
      <c r="D18" s="10" t="inlineStr">
        <is>
          <t>導入成本 ÷ 每日省下的成本</t>
        </is>
      </c>
    </row>
    <row r="19">
      <c r="A19" t="inlineStr">
        <is>
          <t>首年淨效益（NT$）</t>
        </is>
      </c>
      <c r="B19" s="15">
        <f>B15-B17</f>
        <v/>
      </c>
      <c r="C19" s="9" t="inlineStr">
        <is>
          <t>計算</t>
        </is>
      </c>
      <c r="D19" s="10" t="inlineStr">
        <is>
          <t>年省 − 導入成本</t>
        </is>
      </c>
    </row>
    <row r="20">
      <c r="A20" s="7" t="inlineStr">
        <is>
          <t>首年 ROI</t>
        </is>
      </c>
      <c r="B20" s="16">
        <f>(B15-B17)/B17</f>
        <v/>
      </c>
      <c r="C20" s="9" t="inlineStr">
        <is>
          <t>計算</t>
        </is>
      </c>
      <c r="D20" s="10" t="inlineStr">
        <is>
          <t>(年省 − 導入) ÷ 導入</t>
        </is>
      </c>
    </row>
    <row r="23">
      <c r="A23" s="6" t="inlineStr">
        <is>
          <t>B. 品質效益（消除靜默錯誤 · Defects）</t>
        </is>
      </c>
    </row>
    <row r="24">
      <c r="A24" t="inlineStr">
        <is>
          <t>狀態大小寫需正規化（筆）</t>
        </is>
      </c>
      <c r="B24" s="17" t="n">
        <v>2001</v>
      </c>
      <c r="C24" s="9" t="inlineStr">
        <is>
          <t>實測🟢</t>
        </is>
      </c>
      <c r="D24" s="10" t="inlineStr">
        <is>
          <t>巨集統計：Warning/warning/WARNING 混用</t>
        </is>
      </c>
    </row>
    <row r="25">
      <c r="A25" t="inlineStr">
        <is>
          <t>機台代號帶空白比例</t>
        </is>
      </c>
      <c r="B25" s="18" t="n">
        <v>0.15</v>
      </c>
      <c r="C25" s="9" t="inlineStr">
        <is>
          <t>實測🟢</t>
        </is>
      </c>
      <c r="D25" s="10" t="inlineStr">
        <is>
          <t>資料特性；手動漏 TRIM 會低估警告數</t>
        </is>
      </c>
    </row>
    <row r="26" ht="42" customHeight="1">
      <c r="A26" s="19" t="inlineStr">
        <is>
          <t>手動樞紐若漏 TRIM 或未統一大小寫，會把同一機台/同一 KPI 拆成多列多欄，報表看似完成卻默默少算——且 Excel 不報錯。巨集規則固定，缺陷率 = 0。</t>
        </is>
      </c>
    </row>
    <row r="29">
      <c r="A29" s="6" t="inlineStr">
        <is>
          <t>C. AI 模型效益（第一層 · 設備健康判讀）</t>
        </is>
      </c>
    </row>
    <row r="30">
      <c r="A30" t="inlineStr">
        <is>
          <t>模型 Accuracy</t>
        </is>
      </c>
      <c r="B30" s="18" t="n">
        <v>0.85</v>
      </c>
      <c r="C30" s="9" t="inlineStr">
        <is>
          <t>實測🟢</t>
        </is>
      </c>
      <c r="D30" s="10" t="inlineStr">
        <is>
          <t>VAE + 最近 support set，100 台最後一個 cycle</t>
        </is>
      </c>
    </row>
    <row r="31">
      <c r="A31" t="inlineStr">
        <is>
          <t>Warning 的 Recall</t>
        </is>
      </c>
      <c r="B31" s="18" t="n">
        <v>0.9389999999999999</v>
      </c>
      <c r="C31" s="9" t="inlineStr">
        <is>
          <t>實測🟢</t>
        </is>
      </c>
      <c r="D31" s="10" t="inlineStr">
        <is>
          <t>33 台快壞的，抓到 31 台</t>
        </is>
      </c>
    </row>
    <row r="32">
      <c r="A32" t="inlineStr">
        <is>
          <t>漏判台數</t>
        </is>
      </c>
      <c r="B32" s="20" t="n">
        <v>2</v>
      </c>
      <c r="C32" s="9" t="inlineStr">
        <is>
          <t>實測🟢</t>
        </is>
      </c>
      <c r="D32" s="10" t="inlineStr">
        <is>
          <t>該預警卻沒抓到（代價最高的錯誤）</t>
        </is>
      </c>
    </row>
    <row r="33">
      <c r="A33" t="inlineStr">
        <is>
          <t>維護成本降低</t>
        </is>
      </c>
      <c r="B33" s="21" t="n">
        <v>0.84</v>
      </c>
      <c r="C33" s="9" t="inlineStr">
        <is>
          <t>假設🟡</t>
        </is>
      </c>
      <c r="D33" s="10" t="inlineStr">
        <is>
          <t>情境假設：公開資料集無真實成本，非實測</t>
        </is>
      </c>
    </row>
    <row r="34">
      <c r="A34" t="inlineStr">
        <is>
          <t>停機時間降低</t>
        </is>
      </c>
      <c r="B34" s="21" t="n">
        <v>0.36</v>
      </c>
      <c r="C34" s="9" t="inlineStr">
        <is>
          <t>假設🟡</t>
        </is>
      </c>
      <c r="D34" s="10" t="inlineStr">
        <is>
          <t>情境假設：同上</t>
        </is>
      </c>
    </row>
    <row r="36" ht="30" customHeight="1">
      <c r="A36" s="22" t="inlineStr">
        <is>
          <t>兩層效益分列：A/B 為本案主角（流程自動化，效益可實測）；C 為技術亮點（設備健康，公開資料集下的情境假設）。未混算、未灌水。</t>
        </is>
      </c>
    </row>
  </sheetData>
  <mergeCells count="7">
    <mergeCell ref="A1:D1"/>
    <mergeCell ref="A23:D23"/>
    <mergeCell ref="A5:D5"/>
    <mergeCell ref="A26:D26"/>
    <mergeCell ref="A29:D29"/>
    <mergeCell ref="A2:D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2026-07-10T16:26:54Z</dcterms:created>
  <dcterms:modified xmlns:dcterms="http://purl.org/dc/terms/" xmlns:xsi="http://www.w3.org/2001/XMLSchema-instance" xsi:type="dcterms:W3CDTF">2026-07-10T16:26:54Z</dcterms:modified>
</cp:coreProperties>
</file>